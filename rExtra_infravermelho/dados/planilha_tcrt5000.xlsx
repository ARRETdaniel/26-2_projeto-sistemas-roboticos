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izacao" sheetId="1" state="visible" r:id="rId1"/>
    <sheet name="registro_se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1" customWidth="1" min="4" max="4"/>
    <col width="10" customWidth="1" min="5" max="5"/>
    <col width="26" customWidth="1" min="6" max="6"/>
    <col width="3" customWidth="1" min="7" max="7"/>
    <col width="30" customWidth="1" min="8" max="8"/>
    <col width="12" customWidth="1" min="9" max="9"/>
  </cols>
  <sheetData>
    <row r="1">
      <c r="A1" s="1" t="inlineStr">
        <is>
          <t>Distância (mm)</t>
        </is>
      </c>
      <c r="B1" s="1" t="inlineStr">
        <is>
          <t>Sinal médio S</t>
        </is>
      </c>
      <c r="C1" s="1" t="inlineStr">
        <is>
          <t>z = 1/√S</t>
        </is>
      </c>
      <c r="D1" s="1" t="inlineStr">
        <is>
          <t>d_est (mm)</t>
        </is>
      </c>
      <c r="E1" s="1" t="inlineStr">
        <is>
          <t>Erro (mm)</t>
        </is>
      </c>
      <c r="F1" s="1" t="inlineStr">
        <is>
          <t>Uso</t>
        </is>
      </c>
      <c r="H1" s="1" t="inlineStr">
        <is>
          <t>Ganhos do modelo d = g0 + g1·z</t>
        </is>
      </c>
    </row>
    <row r="2">
      <c r="A2" t="n">
        <v>20</v>
      </c>
      <c r="B2" t="n">
        <v>800</v>
      </c>
      <c r="C2" s="2">
        <f>1/SQRT(B2)</f>
        <v/>
      </c>
      <c r="D2" s="3">
        <f>$I$2+$I$3*C2</f>
        <v/>
      </c>
      <c r="E2" s="3">
        <f>D2-A2</f>
        <v/>
      </c>
      <c r="F2" t="inlineStr">
        <is>
          <t>ajuste</t>
        </is>
      </c>
      <c r="H2" t="inlineStr">
        <is>
          <t>g0, ajuste 20–100 mm (mm)</t>
        </is>
      </c>
      <c r="I2" s="4">
        <f>INTERCEPT(A2:A10,C2:C10)</f>
        <v/>
      </c>
    </row>
    <row r="3">
      <c r="A3" t="n">
        <v>30</v>
      </c>
      <c r="B3" t="n">
        <v>350</v>
      </c>
      <c r="C3" s="2">
        <f>1/SQRT(B3)</f>
        <v/>
      </c>
      <c r="D3" s="3">
        <f>$I$2+$I$3*C3</f>
        <v/>
      </c>
      <c r="E3" s="3">
        <f>D3-A3</f>
        <v/>
      </c>
      <c r="F3" t="inlineStr">
        <is>
          <t>ajuste</t>
        </is>
      </c>
      <c r="H3" t="inlineStr">
        <is>
          <t>g1, ajuste 20–100 mm</t>
        </is>
      </c>
      <c r="I3" s="4">
        <f>SLOPE(A2:A10,C2:C10)</f>
        <v/>
      </c>
    </row>
    <row r="4">
      <c r="A4" t="n">
        <v>40</v>
      </c>
      <c r="B4" t="n">
        <v>140</v>
      </c>
      <c r="C4" s="2">
        <f>1/SQRT(B4)</f>
        <v/>
      </c>
      <c r="D4" s="3">
        <f>$I$2+$I$3*C4</f>
        <v/>
      </c>
      <c r="E4" s="3">
        <f>D4-A4</f>
        <v/>
      </c>
      <c r="F4" t="inlineStr">
        <is>
          <t>ajuste</t>
        </is>
      </c>
    </row>
    <row r="5">
      <c r="A5" t="n">
        <v>50</v>
      </c>
      <c r="B5" t="n">
        <v>75</v>
      </c>
      <c r="C5" s="2">
        <f>1/SQRT(B5)</f>
        <v/>
      </c>
      <c r="D5" s="3">
        <f>$I$2+$I$3*C5</f>
        <v/>
      </c>
      <c r="E5" s="3">
        <f>D5-A5</f>
        <v/>
      </c>
      <c r="F5" t="inlineStr">
        <is>
          <t>ajuste</t>
        </is>
      </c>
      <c r="H5" t="inlineStr">
        <is>
          <t>g0, ajuste 20–120 mm (mm)</t>
        </is>
      </c>
      <c r="I5" s="4">
        <f>INTERCEPT(A2:A12,C2:C12)</f>
        <v/>
      </c>
    </row>
    <row r="6">
      <c r="A6" t="n">
        <v>60</v>
      </c>
      <c r="B6" t="n">
        <v>50</v>
      </c>
      <c r="C6" s="2">
        <f>1/SQRT(B6)</f>
        <v/>
      </c>
      <c r="D6" s="3">
        <f>$I$2+$I$3*C6</f>
        <v/>
      </c>
      <c r="E6" s="3">
        <f>D6-A6</f>
        <v/>
      </c>
      <c r="F6" t="inlineStr">
        <is>
          <t>ajuste</t>
        </is>
      </c>
      <c r="H6" t="inlineStr">
        <is>
          <t>g1, ajuste 20–120 mm</t>
        </is>
      </c>
      <c r="I6" s="4">
        <f>SLOPE(A2:A12,C2:C12)</f>
        <v/>
      </c>
    </row>
    <row r="7">
      <c r="A7" t="n">
        <v>70</v>
      </c>
      <c r="B7" t="n">
        <v>30</v>
      </c>
      <c r="C7" s="2">
        <f>1/SQRT(B7)</f>
        <v/>
      </c>
      <c r="D7" s="3">
        <f>$I$2+$I$3*C7</f>
        <v/>
      </c>
      <c r="E7" s="3">
        <f>D7-A7</f>
        <v/>
      </c>
      <c r="F7" t="inlineStr">
        <is>
          <t>ajuste</t>
        </is>
      </c>
    </row>
    <row r="8">
      <c r="A8" t="n">
        <v>80</v>
      </c>
      <c r="B8" t="n">
        <v>25</v>
      </c>
      <c r="C8" s="2">
        <f>1/SQRT(B8)</f>
        <v/>
      </c>
      <c r="D8" s="3">
        <f>$I$2+$I$3*C8</f>
        <v/>
      </c>
      <c r="E8" s="3">
        <f>D8-A8</f>
        <v/>
      </c>
      <c r="F8" t="inlineStr">
        <is>
          <t>ajuste</t>
        </is>
      </c>
      <c r="H8" t="inlineStr">
        <is>
          <t>Erro RMS no ajuste (mm)</t>
        </is>
      </c>
      <c r="I8" s="4">
        <f>SQRT(SUMSQ(E2:E10)/COUNT(E2:E10))</f>
        <v/>
      </c>
    </row>
    <row r="9">
      <c r="A9" t="n">
        <v>90</v>
      </c>
      <c r="B9" t="n">
        <v>15</v>
      </c>
      <c r="C9" s="2">
        <f>1/SQRT(B9)</f>
        <v/>
      </c>
      <c r="D9" s="3">
        <f>$I$2+$I$3*C9</f>
        <v/>
      </c>
      <c r="E9" s="3">
        <f>D9-A9</f>
        <v/>
      </c>
      <c r="F9" t="inlineStr">
        <is>
          <t>ajuste</t>
        </is>
      </c>
    </row>
    <row r="10">
      <c r="A10" t="n">
        <v>100</v>
      </c>
      <c r="B10" t="n">
        <v>12</v>
      </c>
      <c r="C10" s="2">
        <f>1/SQRT(B10)</f>
        <v/>
      </c>
      <c r="D10" s="3">
        <f>$I$2+$I$3*C10</f>
        <v/>
      </c>
      <c r="E10" s="3">
        <f>D10-A10</f>
        <v/>
      </c>
      <c r="F10" t="inlineStr">
        <is>
          <t>ajuste</t>
        </is>
      </c>
      <c r="H10" s="5" t="inlineStr">
        <is>
          <t>O ajuste usado no Arduino é o de 20–100 mm (linhas 2–10), como na planilha da equipe. 110 e 120 mm ficaram fora e servem de validação; 200 mm está dentro do fundo (sinal 2; com o alvo afastado, o fundo ficou entre 4 e 5 contagens).</t>
        </is>
      </c>
    </row>
    <row r="11">
      <c r="A11" t="n">
        <v>110</v>
      </c>
      <c r="B11" t="n">
        <v>10</v>
      </c>
      <c r="C11" s="2">
        <f>1/SQRT(B11)</f>
        <v/>
      </c>
      <c r="D11" s="3">
        <f>$I$2+$I$3*C11</f>
        <v/>
      </c>
      <c r="E11" s="3">
        <f>D11-A11</f>
        <v/>
      </c>
      <c r="F11" t="inlineStr">
        <is>
          <t>validação</t>
        </is>
      </c>
    </row>
    <row r="12">
      <c r="A12" t="n">
        <v>120</v>
      </c>
      <c r="B12" t="n">
        <v>8</v>
      </c>
      <c r="C12" s="2">
        <f>1/SQRT(B12)</f>
        <v/>
      </c>
      <c r="D12" s="3">
        <f>$I$2+$I$3*C12</f>
        <v/>
      </c>
      <c r="E12" s="3">
        <f>D12-A12</f>
        <v/>
      </c>
      <c r="F12" t="inlineStr">
        <is>
          <t>validação</t>
        </is>
      </c>
    </row>
    <row r="13">
      <c r="A13" t="n">
        <v>200</v>
      </c>
      <c r="B13" t="n">
        <v>2</v>
      </c>
      <c r="C13" s="2">
        <f>1/SQRT(B13)</f>
        <v/>
      </c>
      <c r="D13" s="3">
        <f>$I$2+$I$3*C13</f>
        <v/>
      </c>
      <c r="E13" s="3">
        <f>D13-A13</f>
        <v/>
      </c>
      <c r="F13" t="inlineStr">
        <is>
          <t>excluído (dentro do fundo)</t>
        </is>
      </c>
    </row>
    <row r="14"/>
    <row r="15"/>
    <row r="16"/>
  </sheetData>
  <mergeCells count="1">
    <mergeCell ref="H10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20" customWidth="1" min="4" max="4"/>
    <col width="14" customWidth="1" min="5" max="5"/>
  </cols>
  <sheetData>
    <row r="1">
      <c r="A1" s="1" t="inlineStr">
        <is>
          <t>Amostra</t>
        </is>
      </c>
      <c r="B1" s="1" t="inlineStr">
        <is>
          <t>Sinal</t>
        </is>
      </c>
      <c r="C1" s="1" t="inlineStr">
        <is>
          <t>Distância impressa (mm)</t>
        </is>
      </c>
      <c r="D1" s="1" t="inlineStr">
        <is>
          <t>13,46 + 308/√S (mm)</t>
        </is>
      </c>
      <c r="E1" s="1" t="inlineStr">
        <is>
          <t>Diferença (mm)</t>
        </is>
      </c>
    </row>
    <row r="2">
      <c r="A2" t="n">
        <v>1</v>
      </c>
      <c r="B2" t="n">
        <v>4</v>
      </c>
      <c r="C2" t="n">
        <v>167.46</v>
      </c>
      <c r="D2" s="3">
        <f>13.46+308/SQRT(B2)</f>
        <v/>
      </c>
      <c r="E2" s="3">
        <f>ROUND(D2,2)-C2</f>
        <v/>
      </c>
    </row>
    <row r="3">
      <c r="A3" t="n">
        <v>2</v>
      </c>
      <c r="B3" t="n">
        <v>969</v>
      </c>
      <c r="C3" t="n">
        <v>23.35</v>
      </c>
      <c r="D3" s="3">
        <f>13.46+308/SQRT(B3)</f>
        <v/>
      </c>
      <c r="E3" s="3">
        <f>ROUND(D3,2)-C3</f>
        <v/>
      </c>
    </row>
    <row r="4">
      <c r="A4" t="n">
        <v>3</v>
      </c>
      <c r="B4" t="n">
        <v>937</v>
      </c>
      <c r="C4" t="n">
        <v>23.52</v>
      </c>
      <c r="D4" s="3">
        <f>13.46+308/SQRT(B4)</f>
        <v/>
      </c>
      <c r="E4" s="3">
        <f>ROUND(D4,2)-C4</f>
        <v/>
      </c>
    </row>
    <row r="5">
      <c r="A5" t="n">
        <v>4</v>
      </c>
      <c r="B5" t="n">
        <v>108</v>
      </c>
      <c r="C5" t="n">
        <v>43.1</v>
      </c>
      <c r="D5" s="3">
        <f>13.46+308/SQRT(B5)</f>
        <v/>
      </c>
      <c r="E5" s="3">
        <f>ROUND(D5,2)-C5</f>
        <v/>
      </c>
    </row>
    <row r="6">
      <c r="A6" t="n">
        <v>5</v>
      </c>
      <c r="B6" t="n">
        <v>111</v>
      </c>
      <c r="C6" t="n">
        <v>42.69</v>
      </c>
      <c r="D6" s="3">
        <f>13.46+308/SQRT(B6)</f>
        <v/>
      </c>
      <c r="E6" s="3">
        <f>ROUND(D6,2)-C6</f>
        <v/>
      </c>
    </row>
    <row r="7">
      <c r="A7" t="n">
        <v>6</v>
      </c>
      <c r="B7" t="n">
        <v>168</v>
      </c>
      <c r="C7" t="n">
        <v>37.22</v>
      </c>
      <c r="D7" s="3">
        <f>13.46+308/SQRT(B7)</f>
        <v/>
      </c>
      <c r="E7" s="3">
        <f>ROUND(D7,2)-C7</f>
        <v/>
      </c>
    </row>
    <row r="8">
      <c r="A8" t="n">
        <v>7</v>
      </c>
      <c r="B8" t="n">
        <v>107</v>
      </c>
      <c r="C8" t="n">
        <v>43.24</v>
      </c>
      <c r="D8" s="3">
        <f>13.46+308/SQRT(B8)</f>
        <v/>
      </c>
      <c r="E8" s="3">
        <f>ROUND(D8,2)-C8</f>
        <v/>
      </c>
    </row>
    <row r="9">
      <c r="A9" t="n">
        <v>8</v>
      </c>
      <c r="B9" t="n">
        <v>58</v>
      </c>
      <c r="C9" t="n">
        <v>53.9</v>
      </c>
      <c r="D9" s="3">
        <f>13.46+308/SQRT(B9)</f>
        <v/>
      </c>
      <c r="E9" s="3">
        <f>ROUND(D9,2)-C9</f>
        <v/>
      </c>
    </row>
    <row r="10">
      <c r="A10" t="n">
        <v>9</v>
      </c>
      <c r="B10" t="n">
        <v>30</v>
      </c>
      <c r="C10" t="n">
        <v>69.69</v>
      </c>
      <c r="D10" s="3">
        <f>13.46+308/SQRT(B10)</f>
        <v/>
      </c>
      <c r="E10" s="3">
        <f>ROUND(D10,2)-C10</f>
        <v/>
      </c>
    </row>
    <row r="11">
      <c r="A11" t="n">
        <v>10</v>
      </c>
      <c r="B11" t="n">
        <v>22</v>
      </c>
      <c r="C11" t="n">
        <v>79.13</v>
      </c>
      <c r="D11" s="3">
        <f>13.46+308/SQRT(B11)</f>
        <v/>
      </c>
      <c r="E11" s="3">
        <f>ROUND(D11,2)-C11</f>
        <v/>
      </c>
    </row>
    <row r="12">
      <c r="A12" t="n">
        <v>11</v>
      </c>
      <c r="B12" t="n">
        <v>12</v>
      </c>
      <c r="C12" t="n">
        <v>102.37</v>
      </c>
      <c r="D12" s="3">
        <f>13.46+308/SQRT(B12)</f>
        <v/>
      </c>
      <c r="E12" s="3">
        <f>ROUND(D12,2)-C12</f>
        <v/>
      </c>
    </row>
    <row r="13">
      <c r="A13" t="n">
        <v>12</v>
      </c>
      <c r="B13" t="n">
        <v>10</v>
      </c>
      <c r="C13" t="n">
        <v>110.86</v>
      </c>
      <c r="D13" s="3">
        <f>13.46+308/SQRT(B13)</f>
        <v/>
      </c>
      <c r="E13" s="3">
        <f>ROUND(D13,2)-C13</f>
        <v/>
      </c>
    </row>
    <row r="14">
      <c r="A14" t="n">
        <v>13</v>
      </c>
      <c r="B14" t="n">
        <v>10</v>
      </c>
      <c r="C14" t="n">
        <v>110.86</v>
      </c>
      <c r="D14" s="3">
        <f>13.46+308/SQRT(B14)</f>
        <v/>
      </c>
      <c r="E14" s="3">
        <f>ROUND(D14,2)-C14</f>
        <v/>
      </c>
    </row>
    <row r="15">
      <c r="A15" t="n">
        <v>14</v>
      </c>
      <c r="B15" t="n">
        <v>6</v>
      </c>
      <c r="C15" t="n">
        <v>139.2</v>
      </c>
      <c r="D15" s="3">
        <f>13.46+308/SQRT(B15)</f>
        <v/>
      </c>
      <c r="E15" s="3">
        <f>ROUND(D15,2)-C15</f>
        <v/>
      </c>
    </row>
    <row r="16">
      <c r="A16" t="n">
        <v>15</v>
      </c>
      <c r="B16" t="n">
        <v>3</v>
      </c>
      <c r="C16" t="n">
        <v>191.28</v>
      </c>
      <c r="D16" s="3">
        <f>13.46+308/SQRT(B16)</f>
        <v/>
      </c>
      <c r="E16" s="3">
        <f>ROUND(D16,2)-C16</f>
        <v/>
      </c>
    </row>
    <row r="17">
      <c r="A17" t="n">
        <v>16</v>
      </c>
      <c r="B17" t="n">
        <v>928</v>
      </c>
      <c r="C17" t="n">
        <v>23.57</v>
      </c>
      <c r="D17" s="3">
        <f>13.46+308/SQRT(B17)</f>
        <v/>
      </c>
      <c r="E17" s="3">
        <f>ROUND(D17,2)-C17</f>
        <v/>
      </c>
    </row>
    <row r="18">
      <c r="A18" t="n">
        <v>17</v>
      </c>
      <c r="B18" t="n">
        <v>218</v>
      </c>
      <c r="C18" t="n">
        <v>34.32</v>
      </c>
      <c r="D18" s="3">
        <f>13.46+308/SQRT(B18)</f>
        <v/>
      </c>
      <c r="E18" s="3">
        <f>ROUND(D18,2)-C18</f>
        <v/>
      </c>
    </row>
    <row r="19">
      <c r="A19" t="n">
        <v>18</v>
      </c>
      <c r="B19" t="n">
        <v>37</v>
      </c>
      <c r="C19" t="n">
        <v>64.09</v>
      </c>
      <c r="D19" s="3">
        <f>13.46+308/SQRT(B19)</f>
        <v/>
      </c>
      <c r="E19" s="3">
        <f>ROUND(D19,2)-C19</f>
        <v/>
      </c>
    </row>
    <row r="20">
      <c r="A20" t="n">
        <v>19</v>
      </c>
      <c r="B20" t="n">
        <v>21</v>
      </c>
      <c r="C20" t="n">
        <v>80.67</v>
      </c>
      <c r="D20" s="3">
        <f>13.46+308/SQRT(B20)</f>
        <v/>
      </c>
      <c r="E20" s="3">
        <f>ROUND(D20,2)-C20</f>
        <v/>
      </c>
    </row>
    <row r="21">
      <c r="A21" t="n">
        <v>20</v>
      </c>
      <c r="B21" t="n">
        <v>10</v>
      </c>
      <c r="C21" t="n">
        <v>110.86</v>
      </c>
      <c r="D21" s="3">
        <f>13.46+308/SQRT(B21)</f>
        <v/>
      </c>
      <c r="E21" s="3">
        <f>ROUND(D21,2)-C21</f>
        <v/>
      </c>
    </row>
    <row r="22">
      <c r="A22" t="n">
        <v>21</v>
      </c>
      <c r="B22" t="n">
        <v>6</v>
      </c>
      <c r="C22" t="n">
        <v>139.2</v>
      </c>
      <c r="D22" s="3">
        <f>13.46+308/SQRT(B22)</f>
        <v/>
      </c>
      <c r="E22" s="3">
        <f>ROUND(D22,2)-C22</f>
        <v/>
      </c>
    </row>
    <row r="23">
      <c r="A23" t="n">
        <v>22</v>
      </c>
      <c r="B23" t="n">
        <v>5</v>
      </c>
      <c r="C23" t="n">
        <v>151.2</v>
      </c>
      <c r="D23" s="3">
        <f>13.46+308/SQRT(B23)</f>
        <v/>
      </c>
      <c r="E23" s="3">
        <f>ROUND(D23,2)-C23</f>
        <v/>
      </c>
    </row>
    <row r="24">
      <c r="A24" t="n">
        <v>23</v>
      </c>
      <c r="B24" t="n">
        <v>5</v>
      </c>
      <c r="C24" t="n">
        <v>151.2</v>
      </c>
      <c r="D24" s="3">
        <f>13.46+308/SQRT(B24)</f>
        <v/>
      </c>
      <c r="E24" s="3">
        <f>ROUND(D24,2)-C24</f>
        <v/>
      </c>
    </row>
    <row r="25">
      <c r="A25" t="n">
        <v>24</v>
      </c>
      <c r="B25" t="n">
        <v>4</v>
      </c>
      <c r="C25" t="n">
        <v>167.46</v>
      </c>
      <c r="D25" s="3">
        <f>13.46+308/SQRT(B25)</f>
        <v/>
      </c>
      <c r="E25" s="3">
        <f>ROUND(D25,2)-C25</f>
        <v/>
      </c>
    </row>
    <row r="26">
      <c r="A26" t="n">
        <v>25</v>
      </c>
      <c r="B26" t="n">
        <v>4</v>
      </c>
      <c r="C26" t="n">
        <v>167.46</v>
      </c>
      <c r="D26" s="3">
        <f>13.46+308/SQRT(B26)</f>
        <v/>
      </c>
      <c r="E26" s="3">
        <f>ROUND(D26,2)-C26</f>
        <v/>
      </c>
    </row>
    <row r="27">
      <c r="A27" t="n">
        <v>26</v>
      </c>
      <c r="B27" t="n">
        <v>4</v>
      </c>
      <c r="C27" t="n">
        <v>167.46</v>
      </c>
      <c r="D27" s="3">
        <f>13.46+308/SQRT(B27)</f>
        <v/>
      </c>
      <c r="E27" s="3">
        <f>ROUND(D27,2)-C27</f>
        <v/>
      </c>
    </row>
    <row r="28">
      <c r="A28" t="n">
        <v>27</v>
      </c>
      <c r="B28" t="n">
        <v>5</v>
      </c>
      <c r="C28" t="n">
        <v>151.2</v>
      </c>
      <c r="D28" s="3">
        <f>13.46+308/SQRT(B28)</f>
        <v/>
      </c>
      <c r="E28" s="3">
        <f>ROUND(D28,2)-C28</f>
        <v/>
      </c>
    </row>
    <row r="29">
      <c r="A29" t="n">
        <v>28</v>
      </c>
      <c r="B29" t="n">
        <v>7</v>
      </c>
      <c r="C29" t="n">
        <v>129.87</v>
      </c>
      <c r="D29" s="3">
        <f>13.46+308/SQRT(B29)</f>
        <v/>
      </c>
      <c r="E29" s="3">
        <f>ROUND(D29,2)-C29</f>
        <v/>
      </c>
    </row>
    <row r="30">
      <c r="A30" t="n">
        <v>29</v>
      </c>
      <c r="B30" t="n">
        <v>9</v>
      </c>
      <c r="C30" t="n">
        <v>116.13</v>
      </c>
      <c r="D30" s="3">
        <f>13.46+308/SQRT(B30)</f>
        <v/>
      </c>
      <c r="E30" s="3">
        <f>ROUND(D30,2)-C30</f>
        <v/>
      </c>
    </row>
    <row r="31">
      <c r="A31" t="n">
        <v>30</v>
      </c>
      <c r="B31" t="n">
        <v>10</v>
      </c>
      <c r="C31" t="n">
        <v>110.86</v>
      </c>
      <c r="D31" s="3">
        <f>13.46+308/SQRT(B31)</f>
        <v/>
      </c>
      <c r="E31" s="3">
        <f>ROUND(D31,2)-C31</f>
        <v/>
      </c>
    </row>
    <row r="32">
      <c r="A32" t="n">
        <v>31</v>
      </c>
      <c r="B32" t="n">
        <v>8</v>
      </c>
      <c r="C32" t="n">
        <v>122.35</v>
      </c>
      <c r="D32" s="3">
        <f>13.46+308/SQRT(B32)</f>
        <v/>
      </c>
      <c r="E32" s="3">
        <f>ROUND(D32,2)-C32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2026-10-07T20:05:11Z</dcterms:created>
  <dcterms:modified xsi:type="dcterms:W3CDTF">2026-10-07T20:05:11Z</dcterms:modified>
</cp:coreProperties>
</file>